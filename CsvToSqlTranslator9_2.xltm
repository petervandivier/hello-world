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vandivier\Desktop\"/>
    </mc:Choice>
  </mc:AlternateContent>
  <bookViews>
    <workbookView xWindow="0" yWindow="0" windowWidth="18150" windowHeight="4665" firstSheet="1" activeTab="3"/>
  </bookViews>
  <sheets>
    <sheet name="insert_into" sheetId="5" state="hidden" r:id="rId1"/>
    <sheet name="Table1" sheetId="1" r:id="rId2"/>
    <sheet name="headers" sheetId="2" r:id="rId3"/>
    <sheet name="Param" sheetId="3" r:id="rId4"/>
  </sheets>
  <functionGroups builtInGroupCount="18"/>
  <definedNames>
    <definedName name="AutoScript">Param!$F$8</definedName>
    <definedName name="CountColumns">Param!$F$1</definedName>
    <definedName name="CountDataRows">Param!$F$5</definedName>
    <definedName name="CreateSyntax">headers[[#All],[declare @table table]]</definedName>
    <definedName name="FinalExcelFormula">Param!$F$10</definedName>
    <definedName name="FirstHeader">Param!$F$4</definedName>
    <definedName name="maxRowNum">Param!$F$3</definedName>
    <definedName name="minRowNum">Param!$F$2</definedName>
    <definedName name="PartOne">Param!$F$7</definedName>
    <definedName name="PreFinalExcelFormula">Param!$F$9</definedName>
    <definedName name="TableName">Param!$F$6</definedName>
  </definedNames>
  <calcPr calcId="152511"/>
</workbook>
</file>

<file path=xl/calcChain.xml><?xml version="1.0" encoding="utf-8"?>
<calcChain xmlns="http://schemas.openxmlformats.org/spreadsheetml/2006/main">
  <c r="F7" i="3" l="1"/>
  <c r="J3" i="2"/>
  <c r="J2" i="2"/>
  <c r="F8" i="3"/>
  <c r="B3" i="2" l="1"/>
  <c r="Q3" i="2"/>
  <c r="B2" i="2" l="1"/>
  <c r="F13" i="3" l="1"/>
  <c r="F1" i="3" l="1"/>
  <c r="Q2" i="2"/>
  <c r="F3" i="3" l="1"/>
  <c r="F2" i="3"/>
  <c r="F4" i="3"/>
  <c r="F5" i="3"/>
  <c r="U3" i="2"/>
  <c r="V3" i="2"/>
  <c r="T2" i="2"/>
  <c r="U2" i="2"/>
  <c r="T3" i="2"/>
  <c r="S2" i="2"/>
  <c r="K3" i="2"/>
  <c r="K2" i="2"/>
  <c r="V2" i="2"/>
  <c r="R2" i="2"/>
  <c r="R3" i="2"/>
  <c r="S3" i="2"/>
  <c r="D3" i="2" l="1"/>
  <c r="W3" i="2"/>
  <c r="W2" i="2"/>
  <c r="D2" i="2"/>
  <c r="N2" i="2"/>
  <c r="L2" i="2"/>
  <c r="G2" i="2" s="1"/>
  <c r="M2" i="2"/>
  <c r="P2" i="2"/>
  <c r="H2" i="2" s="1"/>
  <c r="L3" i="2"/>
  <c r="G3" i="2" s="1"/>
  <c r="M3" i="2"/>
  <c r="P3" i="2"/>
  <c r="H3" i="2" s="1"/>
  <c r="N3" i="2"/>
  <c r="I3" i="2" l="1"/>
  <c r="O3" i="2"/>
  <c r="X2" i="2"/>
  <c r="Y2" i="2"/>
  <c r="Y3" i="2"/>
  <c r="X3" i="2"/>
  <c r="O2" i="2"/>
  <c r="I2" i="2"/>
  <c r="C3" i="2"/>
  <c r="C2" i="2"/>
  <c r="AB3" i="2"/>
  <c r="AB2" i="2"/>
  <c r="Z2" i="2" l="1"/>
  <c r="AA2" i="2" s="1"/>
  <c r="Z3" i="2"/>
  <c r="AA3" i="2" s="1"/>
  <c r="E2" i="2"/>
  <c r="E3" i="2"/>
</calcChain>
</file>

<file path=xl/comments1.xml><?xml version="1.0" encoding="utf-8"?>
<comments xmlns="http://schemas.openxmlformats.org/spreadsheetml/2006/main">
  <authors>
    <author>Peter Vandivier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Peter Vandivier: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14"/>
            <color indexed="81"/>
            <rFont val="Tahoma"/>
            <family val="2"/>
          </rPr>
          <t>=IF( ISERR( FIND(" ",[@Field])), CLEAN( SUBSTITUTE( [@Field],"'","''")),"[" &amp; CLEAN( SUBSTITUTE([@Field],"'","''"))&amp;"]")</t>
        </r>
      </text>
    </comment>
    <comment ref="O1" authorId="0" shapeId="0">
      <text>
        <r>
          <rPr>
            <b/>
            <sz val="9"/>
            <color indexed="81"/>
            <rFont val="Tahoma"/>
            <charset val="1"/>
          </rPr>
          <t>Peter Vandivier:</t>
        </r>
        <r>
          <rPr>
            <sz val="9"/>
            <color indexed="81"/>
            <rFont val="Tahoma"/>
            <charset val="1"/>
          </rPr>
          <t xml:space="preserve">
ThereCanBeOnlyOne</t>
        </r>
      </text>
    </comment>
  </commentList>
</comments>
</file>

<file path=xl/comments2.xml><?xml version="1.0" encoding="utf-8"?>
<comments xmlns="http://schemas.openxmlformats.org/spreadsheetml/2006/main">
  <authors>
    <author>Peter Vandivier</author>
  </authors>
  <commentList>
    <comment ref="B10" authorId="0" shapeId="0">
      <text>
        <r>
          <rPr>
            <b/>
            <sz val="9"/>
            <color indexed="81"/>
            <rFont val="Tahoma"/>
            <charset val="1"/>
          </rPr>
          <t>Peter Vandivier: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11"/>
            <color indexed="81"/>
            <rFont val="Tahoma"/>
            <family val="2"/>
          </rPr>
          <t>Same as SSMS Order Of 
Precedence</t>
        </r>
      </text>
    </comment>
  </commentList>
</comments>
</file>

<file path=xl/sharedStrings.xml><?xml version="1.0" encoding="utf-8"?>
<sst xmlns="http://schemas.openxmlformats.org/spreadsheetml/2006/main" count="92" uniqueCount="89">
  <si>
    <t>Field</t>
  </si>
  <si>
    <t>Null</t>
  </si>
  <si>
    <t>date</t>
  </si>
  <si>
    <t>bigint</t>
  </si>
  <si>
    <t>bit</t>
  </si>
  <si>
    <t>int</t>
  </si>
  <si>
    <t>float</t>
  </si>
  <si>
    <t>FindFirstNull</t>
  </si>
  <si>
    <t>IsText</t>
  </si>
  <si>
    <t>MaxLen</t>
  </si>
  <si>
    <t>isLogical</t>
  </si>
  <si>
    <t>isBlank</t>
  </si>
  <si>
    <t>Floor</t>
  </si>
  <si>
    <t>StringLength</t>
  </si>
  <si>
    <t>MAX</t>
  </si>
  <si>
    <t>%isBlank</t>
  </si>
  <si>
    <t>%isLogical</t>
  </si>
  <si>
    <t>%IsText</t>
  </si>
  <si>
    <t>IsNumeric</t>
  </si>
  <si>
    <t>%IsNumeric</t>
  </si>
  <si>
    <t>isDataTypeOkay</t>
  </si>
  <si>
    <t>isDemoCheckOkay</t>
  </si>
  <si>
    <t>isDate</t>
  </si>
  <si>
    <t>TextDataType</t>
  </si>
  <si>
    <t>NumericDataType</t>
  </si>
  <si>
    <t>GoodFieldName</t>
  </si>
  <si>
    <t>ManualDataType</t>
  </si>
  <si>
    <t>OtherDataType</t>
  </si>
  <si>
    <t>FinalDataType</t>
  </si>
  <si>
    <t>minRowNum</t>
  </si>
  <si>
    <t>maxRowNum</t>
  </si>
  <si>
    <t>CountColumns</t>
  </si>
  <si>
    <t>CountDataRows</t>
  </si>
  <si>
    <t>FirstHeader</t>
  </si>
  <si>
    <t>varchar</t>
  </si>
  <si>
    <t>user-defined data types (highest)</t>
  </si>
  <si>
    <t>sql_varian t</t>
  </si>
  <si>
    <t>xml</t>
  </si>
  <si>
    <t>datetimeoffset</t>
  </si>
  <si>
    <t>datetime2</t>
  </si>
  <si>
    <t>datetime</t>
  </si>
  <si>
    <t>smalldatetime</t>
  </si>
  <si>
    <t>time</t>
  </si>
  <si>
    <t>real</t>
  </si>
  <si>
    <t>decimal</t>
  </si>
  <si>
    <t>money</t>
  </si>
  <si>
    <t>smallmoney</t>
  </si>
  <si>
    <t>smallint</t>
  </si>
  <si>
    <t>tinyint</t>
  </si>
  <si>
    <t>ntext</t>
  </si>
  <si>
    <t>text</t>
  </si>
  <si>
    <t>image</t>
  </si>
  <si>
    <t>timestamp</t>
  </si>
  <si>
    <t>uniqueidentifier</t>
  </si>
  <si>
    <t>nchar</t>
  </si>
  <si>
    <t>char</t>
  </si>
  <si>
    <t>nvarchar</t>
  </si>
  <si>
    <t>varbinary</t>
  </si>
  <si>
    <t>binary</t>
  </si>
  <si>
    <t>FinalDataTypeId</t>
  </si>
  <si>
    <t>Datatype</t>
  </si>
  <si>
    <t>DatatypeCode</t>
  </si>
  <si>
    <t>DatatypeGroupId</t>
  </si>
  <si>
    <t>Unclassified for this Macro set - Do Not Use</t>
  </si>
  <si>
    <t>date and/or time</t>
  </si>
  <si>
    <t>other numeric</t>
  </si>
  <si>
    <t>bit / logical / true-false</t>
  </si>
  <si>
    <t>string / text</t>
  </si>
  <si>
    <t>XXXX</t>
  </si>
  <si>
    <t>bracket in single quotes</t>
  </si>
  <si>
    <t>no bracket</t>
  </si>
  <si>
    <t>"wack-wack" out the T/F. translate to 1/0</t>
  </si>
  <si>
    <t>DatatypeGroupName</t>
  </si>
  <si>
    <t>Plain EnglishTranslationRule</t>
  </si>
  <si>
    <t>DatatypeTranslationSyntax</t>
  </si>
  <si>
    <t>Alert</t>
  </si>
  <si>
    <t>FinalDatatypeGroupId</t>
  </si>
  <si>
    <t>syntax</t>
  </si>
  <si>
    <t>PartOne</t>
  </si>
  <si>
    <t>AutoScript</t>
  </si>
  <si>
    <t>%isDate</t>
  </si>
  <si>
    <t>MinVal</t>
  </si>
  <si>
    <t>MaxVal</t>
  </si>
  <si>
    <t>FinalExcelFormula</t>
  </si>
  <si>
    <t>PreFinalExcelFormula</t>
  </si>
  <si>
    <t>RowId</t>
  </si>
  <si>
    <t>TableName</t>
  </si>
  <si>
    <t>declare @table table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</si>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</sst>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4"/>
      <color indexed="81"/>
      <name val="Tahoma"/>
      <family val="2"/>
    </font>
    <font>
      <sz val="11"/>
      <color indexed="81"/>
      <name val="Tahoma"/>
      <family val="2"/>
    </font>
    <font>
      <sz val="1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0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49" fontId="0" fillId="0" borderId="0" xfId="0" applyNumberFormat="1"/>
    <xf numFmtId="0" fontId="9" fillId="5" borderId="4" xfId="10"/>
    <xf numFmtId="0" fontId="0" fillId="0" borderId="0" xfId="0" quotePrefix="1"/>
    <xf numFmtId="0" fontId="11" fillId="6" borderId="4" xfId="12"/>
    <xf numFmtId="0" fontId="22" fillId="0" borderId="10" xfId="0" applyFont="1" applyBorder="1"/>
    <xf numFmtId="0" fontId="9" fillId="5" borderId="11" xfId="10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8">
    <dxf>
      <numFmt numFmtId="30" formatCode="@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4" formatCode="0.00%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122465</xdr:colOff>
      <xdr:row>19</xdr:row>
      <xdr:rowOff>68036</xdr:rowOff>
    </xdr:from>
    <xdr:to>
      <xdr:col>9</xdr:col>
      <xdr:colOff>1469572</xdr:colOff>
      <xdr:row>22</xdr:row>
      <xdr:rowOff>136071</xdr:rowOff>
    </xdr:to>
    <xdr:sp macro="[0]!DataTypeTableGet" textlink="">
      <xdr:nvSpPr>
        <xdr:cNvPr id="2" name="TextBox 1"/>
        <xdr:cNvSpPr txBox="1"/>
      </xdr:nvSpPr>
      <xdr:spPr>
        <a:xfrm>
          <a:off x="9021536" y="3687536"/>
          <a:ext cx="1959429" cy="63953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Detect DataTypes</a:t>
          </a:r>
        </a:p>
      </xdr:txBody>
    </xdr:sp>
    <xdr:clientData/>
  </xdr:twoCellAnchor>
  <xdr:twoCellAnchor>
    <xdr:from>
      <xdr:col>8</xdr:col>
      <xdr:colOff>163286</xdr:colOff>
      <xdr:row>23</xdr:row>
      <xdr:rowOff>122465</xdr:rowOff>
    </xdr:from>
    <xdr:to>
      <xdr:col>9</xdr:col>
      <xdr:colOff>1469572</xdr:colOff>
      <xdr:row>27</xdr:row>
      <xdr:rowOff>122464</xdr:rowOff>
    </xdr:to>
    <xdr:sp macro="[0]!ValuesSyntax" textlink="">
      <xdr:nvSpPr>
        <xdr:cNvPr id="3" name="TextBox 2"/>
        <xdr:cNvSpPr txBox="1"/>
      </xdr:nvSpPr>
      <xdr:spPr>
        <a:xfrm>
          <a:off x="9062357" y="4503965"/>
          <a:ext cx="1918608" cy="7619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Generate Insert</a:t>
          </a:r>
          <a:r>
            <a:rPr lang="en-US" sz="1800" b="1" baseline="0"/>
            <a:t> Values Syntax</a:t>
          </a:r>
          <a:endParaRPr lang="en-US" sz="1800" b="1"/>
        </a:p>
      </xdr:txBody>
    </xdr:sp>
    <xdr:clientData/>
  </xdr:twoCellAnchor>
  <xdr:twoCellAnchor>
    <xdr:from>
      <xdr:col>10</xdr:col>
      <xdr:colOff>95249</xdr:colOff>
      <xdr:row>12</xdr:row>
      <xdr:rowOff>95250</xdr:rowOff>
    </xdr:from>
    <xdr:to>
      <xdr:col>12</xdr:col>
      <xdr:colOff>1455964</xdr:colOff>
      <xdr:row>42</xdr:row>
      <xdr:rowOff>176893</xdr:rowOff>
    </xdr:to>
    <xdr:sp macro="" textlink="">
      <xdr:nvSpPr>
        <xdr:cNvPr id="4" name="TextBox 3"/>
        <xdr:cNvSpPr txBox="1"/>
      </xdr:nvSpPr>
      <xdr:spPr>
        <a:xfrm>
          <a:off x="12273642" y="2503714"/>
          <a:ext cx="6844393" cy="5796643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u="none"/>
            <a:t>***</a:t>
          </a:r>
          <a:r>
            <a:rPr lang="en-US" sz="2800" b="1" u="sng"/>
            <a:t>Instructions</a:t>
          </a:r>
          <a:r>
            <a:rPr lang="en-US" sz="2800" b="1" u="none"/>
            <a:t>***</a:t>
          </a:r>
          <a:endParaRPr lang="en-US" sz="2000" b="1" u="none"/>
        </a:p>
        <a:p>
          <a:pPr marL="171450" indent="-171450">
            <a:buFont typeface="Arial" panose="020B0604020202020204" pitchFamily="34" charset="0"/>
            <a:buChar char="•"/>
          </a:pPr>
          <a:endParaRPr lang="en-US" sz="16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Type</a:t>
          </a:r>
          <a:r>
            <a:rPr lang="en-U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Desired Table Name into cell [F6] on this worksheet</a:t>
          </a:r>
          <a:endParaRPr lang="en-US" sz="18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400"/>
            <a:t>Paste your</a:t>
          </a:r>
          <a:r>
            <a:rPr lang="en-US" sz="1400" baseline="0"/>
            <a:t> normalized data with headers on worksheet [Table1] starting in cell [B1]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400" b="1" u="sng" baseline="0">
              <a:solidFill>
                <a:srgbClr val="0070C0"/>
              </a:solidFill>
            </a:rPr>
            <a:t>ctrl+h -- replace "null" with "" if porting SQL data. otherwise you will get "null" instead of actual </a:t>
          </a:r>
          <a:r>
            <a:rPr lang="en-US" sz="1400" b="0" i="1" baseline="0">
              <a:solidFill>
                <a:sysClr val="windowText" lastClr="000000"/>
              </a:solidFill>
            </a:rPr>
            <a:t>NULL</a:t>
          </a:r>
        </a:p>
        <a:p>
          <a:pPr marL="0" indent="0" algn="ctr">
            <a:buFont typeface="Arial" panose="020B0604020202020204" pitchFamily="34" charset="0"/>
            <a:buNone/>
          </a:pPr>
          <a:r>
            <a:rPr lang="en-US" sz="1400" b="1" baseline="0">
              <a:solidFill>
                <a:srgbClr val="FF0000"/>
              </a:solidFill>
            </a:rPr>
            <a:t>(Check that you like your Column Names before proceding)</a:t>
          </a:r>
          <a:endParaRPr lang="en-US" sz="1400" b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400" baseline="0"/>
            <a:t>Hit button 1 "</a:t>
          </a:r>
          <a:r>
            <a:rPr lang="en-US" sz="1600" b="1" baseline="0">
              <a:solidFill>
                <a:schemeClr val="accent2">
                  <a:lumMod val="75000"/>
                </a:schemeClr>
              </a:solidFill>
            </a:rPr>
            <a:t>Create Table1</a:t>
          </a:r>
          <a:r>
            <a:rPr lang="en-US" sz="1400" baseline="0"/>
            <a:t>"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Hit button 2 "</a:t>
          </a: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chemeClr val="accent4">
                  <a:lumMod val="75000"/>
                </a:schemeClr>
              </a:solidFill>
              <a:effectLst/>
              <a:uLnTx/>
              <a:uFillTx/>
              <a:latin typeface="+mn-lt"/>
            </a:rPr>
            <a:t>Detect DataTypes</a:t>
          </a: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"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Hit button 3 "</a:t>
          </a: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50000"/>
                </a:schemeClr>
              </a:solidFill>
              <a:effectLst/>
              <a:uLnTx/>
              <a:uFillTx/>
              <a:latin typeface="+mn-lt"/>
            </a:rPr>
            <a:t>Create Insert Values Syntax</a:t>
          </a: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"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4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If you need to create a Table in which to deposit the data, your syntax will be on Worksheet [Headers] in Range Headers[Syntax]. Or just hit the blue button to copy the syntax to the Clipboard.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4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To insert the Data into SSMS, use the "insert into dbo.Table values ... ;" syntax (MSDN Resource, StackOverflow Resource). Copy the </a:t>
          </a:r>
          <a:r>
            <a:rPr kumimoji="0" lang="en-US" sz="1600" b="1" i="1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TEXT ONLY </a:t>
          </a: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from "Final Excel Formula" (this worksheet, cell [F10]). Paste this into a new column in [Table1]. This column will be your Row Insert syntax. </a:t>
          </a: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Please Note </a:t>
          </a: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you may only insert 1000 rows per statement. Use Ctrl+G in SSMS to navigate to the next 1000's row for each batch. Then:</a:t>
          </a:r>
        </a:p>
        <a:p>
          <a:pPr marL="285750" marR="0" lvl="0" indent="-2857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End the preceding statement with a semicolon,</a:t>
          </a:r>
        </a:p>
        <a:p>
          <a:pPr marL="285750" marR="0" lvl="0" indent="-2857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Re-state the "insert into ... " syntax</a:t>
          </a:r>
        </a:p>
        <a:p>
          <a:pPr marL="285750" marR="0" lvl="0" indent="-2857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Delete the comma prior to the first Row</a:t>
          </a:r>
        </a:p>
      </xdr:txBody>
    </xdr:sp>
    <xdr:clientData/>
  </xdr:twoCellAnchor>
  <xdr:twoCellAnchor>
    <xdr:from>
      <xdr:col>8</xdr:col>
      <xdr:colOff>122464</xdr:colOff>
      <xdr:row>15</xdr:row>
      <xdr:rowOff>54428</xdr:rowOff>
    </xdr:from>
    <xdr:to>
      <xdr:col>9</xdr:col>
      <xdr:colOff>1469571</xdr:colOff>
      <xdr:row>18</xdr:row>
      <xdr:rowOff>122463</xdr:rowOff>
    </xdr:to>
    <xdr:sp macro="[0]!DetectOrCreateTable1" textlink="">
      <xdr:nvSpPr>
        <xdr:cNvPr id="14" name="TextBox 13"/>
        <xdr:cNvSpPr txBox="1"/>
      </xdr:nvSpPr>
      <xdr:spPr>
        <a:xfrm>
          <a:off x="9021535" y="2911928"/>
          <a:ext cx="1959429" cy="63953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Create Table1</a:t>
          </a:r>
        </a:p>
      </xdr:txBody>
    </xdr:sp>
    <xdr:clientData/>
  </xdr:twoCellAnchor>
  <xdr:twoCellAnchor>
    <xdr:from>
      <xdr:col>8</xdr:col>
      <xdr:colOff>204108</xdr:colOff>
      <xdr:row>28</xdr:row>
      <xdr:rowOff>81642</xdr:rowOff>
    </xdr:from>
    <xdr:to>
      <xdr:col>9</xdr:col>
      <xdr:colOff>1469571</xdr:colOff>
      <xdr:row>32</xdr:row>
      <xdr:rowOff>149679</xdr:rowOff>
    </xdr:to>
    <xdr:sp macro="[0]!CopyCreateTableTSQL" textlink="">
      <xdr:nvSpPr>
        <xdr:cNvPr id="15" name="TextBox 14"/>
        <xdr:cNvSpPr txBox="1"/>
      </xdr:nvSpPr>
      <xdr:spPr>
        <a:xfrm>
          <a:off x="9103179" y="5415642"/>
          <a:ext cx="1877785" cy="83003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Copy Create Table T-SQL syntax to Microsoft Clipboard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headers" displayName="headers" ref="A1:AC3" totalsRowShown="0">
  <autoFilter ref="A1:AC3"/>
  <tableColumns count="29">
    <tableColumn id="1" name="Field"/>
    <tableColumn id="26" name="GoodFieldName" dataDxfId="26">
      <calculatedColumnFormula>"[" &amp; CLEAN( SUBSTITUTE(headers[[#This Row],[Field]],"'","''"))&amp;"]"</calculatedColumnFormula>
    </tableColumn>
    <tableColumn id="2" name="FinalDataType">
      <calculatedColumnFormula>IF(ISBLANK(headers[[#This Row],[ManualDataType]]),rangeConcat(headers[[#This Row],[ManualDataType]:[TextDataType]]),headers[[#This Row],[ManualDataType]])</calculatedColumnFormula>
    </tableColumn>
    <tableColumn id="3" name="Null" dataDxfId="25">
      <calculatedColumnFormula>IF(headers[[#This Row],[%isBlank]]=0,"not null","null")</calculatedColumnFormula>
    </tableColumn>
    <tableColumn id="21" name="Alert" dataDxfId="24">
      <calculatedColumnFormula>IF(AND(headers[[#This Row],[IsNumeric]],headers[[#This Row],[MinVal]]=0,headers[[#This Row],[MaxVal]]=1),"**may be a logical field**","")</calculatedColumnFormula>
    </tableColumn>
    <tableColumn id="27" name="ManualDataType"/>
    <tableColumn id="28" name="OtherDataType" dataDxfId="23">
      <calculatedColumnFormula>IF(headers[[#This Row],[isLogical]],"bit",IF(headers[[#This Row],[isBlank]],"float",""))</calculatedColumnFormula>
    </tableColumn>
    <tableColumn id="22" name="NumericDataType" dataDxfId="22">
      <calculatedColumnFormula>IF(headers[[#This Row],[isDate]],"datetime",IF(headers[[#This Row],[IsNumeric]],"float",""))</calculatedColumnFormula>
    </tableColumn>
    <tableColumn id="11" name="TextDataType" dataDxfId="21">
      <calculatedColumnFormula>IF(headers[[#This Row],[IsText]],"varchar("&amp;VLOOKUP(headers[[#This Row],[MaxLen]],varchar[],2,1)&amp;")","")</calculatedColumnFormula>
    </tableColumn>
    <tableColumn id="4" name="FindFirstNull" dataDxfId="20">
      <calculatedColumnFormula>IFERROR(_xlfn.AGGREGATE(15,6,ROW(INDIRECT("DataType["&amp;headers[[#This Row],[Field]]&amp;"]"))/((INDIRECT("DataType["&amp;headers[[#This Row],[Field]]&amp;"]"))="Blank"),1),"")</calculatedColumnFormula>
    </tableColumn>
    <tableColumn id="10" name="isBlank" dataDxfId="19">
      <calculatedColumnFormula>COUNTIFS(INDIRECT("DataType["&amp;headers[[#This Row],[Field]]&amp;"]"),"Blank")=CountDataRows</calculatedColumnFormula>
    </tableColumn>
    <tableColumn id="9" name="isLogical" dataDxfId="18">
      <calculatedColumnFormula>IF(headers[[#This Row],[isBlank]],FALSE,COUNTIFS(INDIRECT("DataType["&amp;headers[[#This Row],[Field]]&amp;"]"),"Boolean")+COUNTIFS(INDIRECT("DataType["&amp;headers[[#This Row],[Field]]&amp;"]"),"Blank")=CountDataRows)</calculatedColumnFormula>
    </tableColumn>
    <tableColumn id="7" name="IsNumeric" dataDxfId="17">
      <calculatedColumnFormula>IF(headers[[#This Row],[isBlank]],FALSE,COUNTIFS(INDIRECT("DataType["&amp;headers[[#This Row],[Field]]&amp;"]"),"Numeric")+COUNTIFS(INDIRECT("DataType["&amp;headers[[#This Row],[Field]]&amp;"]"),"Blank")=CountDataRows)</calculatedColumnFormula>
    </tableColumn>
    <tableColumn id="6" name="IsText" dataDxfId="16">
      <calculatedColumnFormula>headers[[#This Row],[%IsText]]&lt;&gt;0</calculatedColumnFormula>
    </tableColumn>
    <tableColumn id="8" name="isDataTypeOkay" dataDxfId="15">
      <calculatedColumnFormula>SUM(--headers[[#This Row],[IsText]],--headers[[#This Row],[IsNumeric]],--headers[[#This Row],[isLogical]],--headers[[#This Row],[isBlank]])=1</calculatedColumnFormula>
    </tableColumn>
    <tableColumn id="19" name="isDate" dataDxfId="14" dataCellStyle="Percent">
      <calculatedColumnFormula>IF(headers[[#This Row],[isBlank]],FALSE,COUNTIFS(INDIRECT("DataType["&amp;headers[[#This Row],[Field]]&amp;"]"),"Date")+COUNTIFS(INDIRECT("DataType["&amp;headers[[#This Row],[Field]]&amp;"]"),"Blank")=CountDataRows)</calculatedColumnFormula>
    </tableColumn>
    <tableColumn id="5" name="MaxLen" dataDxfId="13">
      <calculatedColumnFormula>_xlfn.AGGREGATE(14,6,LEN(INDIRECT("Table1["&amp;headers[[#This Row],[Field]]&amp;"]")),1)</calculatedColumnFormula>
    </tableColumn>
    <tableColumn id="12" name="%isBlank" dataDxfId="12" dataCellStyle="Percent">
      <calculatedColumnFormula>COUNTIFS(INDIRECT("DataType["&amp;headers[[#This Row],[Field]]&amp;"]"),"Blank")/CountDataRows</calculatedColumnFormula>
    </tableColumn>
    <tableColumn id="29" name="%isDate" dataDxfId="11" dataCellStyle="Percent">
      <calculatedColumnFormula>COUNTIFS(INDIRECT("DataType["&amp;headers[[#This Row],[Field]]&amp;"]"),"Date")/CountDataRows</calculatedColumnFormula>
    </tableColumn>
    <tableColumn id="13" name="%isLogical" dataDxfId="10" dataCellStyle="Percent">
      <calculatedColumnFormula>COUNTIFS(INDIRECT("DataType["&amp;headers[[#This Row],[Field]]&amp;"]"),"Boolean")/CountDataRows</calculatedColumnFormula>
    </tableColumn>
    <tableColumn id="14" name="%IsNumeric" dataDxfId="9" dataCellStyle="Percent">
      <calculatedColumnFormula>COUNTIFS(INDIRECT("DataType["&amp;headers[[#This Row],[Field]]&amp;"]"),"Numeric")/CountDataRows</calculatedColumnFormula>
    </tableColumn>
    <tableColumn id="15" name="%IsText" dataDxfId="8" dataCellStyle="Percent">
      <calculatedColumnFormula>COUNTIFS(INDIRECT("DataType["&amp;headers[[#This Row],[Field]]&amp;"]"),"Text")/CountDataRows</calculatedColumnFormula>
    </tableColumn>
    <tableColumn id="16" name="isDemoCheckOkay" dataDxfId="7" dataCellStyle="Percent">
      <calculatedColumnFormula>SUM(headers[[#This Row],[%isBlank]],headers[[#This Row],[%isDate]],headers[[#This Row],[%isLogical]],headers[[#This Row],[%IsNumeric]],headers[[#This Row],[%IsText]])=1</calculatedColumnFormula>
    </tableColumn>
    <tableColumn id="17" name="MinVal" dataDxfId="6" dataCellStyle="Percent">
      <calculatedColumnFormula>IF(headers[[#This Row],[IsNumeric]],_xlfn.AGGREGATE(15,6,INDIRECT("Table1["&amp;headers[[#This Row],[Field]]&amp;"]")/--(INDIRECT("Table1["&amp;headers[[#This Row],[Field]]&amp;"]")&lt;&gt;""),1),IF(headers[[#This Row],[isDate]],TEXT(_xlfn.AGGREGATE(15,6,INDIRECT("Table1["&amp;headers[[#This Row],[Field]]&amp;"]")/--(INDIRECT("Table1["&amp;headers[[#This Row],[Field]]&amp;"]")&lt;&gt;""),1),"yyyy-mm-dd"),""))</calculatedColumnFormula>
    </tableColumn>
    <tableColumn id="18" name="MaxVal" dataDxfId="5" dataCellStyle="Percent">
      <calculatedColumnFormula>IF(headers[[#This Row],[IsNumeric]],MAX(INDIRECT("Table1["&amp;headers[[#This Row],[Field]]&amp;"]")),IF(headers[[#This Row],[isDate]],TEXT(MAX(INDIRECT("Table1["&amp;headers[[#This Row],[Field]]&amp;"]")),"yyyy-mm-dd"),""))</calculatedColumnFormula>
    </tableColumn>
    <tableColumn id="20" name="FinalDataTypeId" dataDxfId="4" dataCellStyle="Percent">
      <calculatedColumnFormula>IF(ISERR(FIND("char",headers[[#This Row],[FinalDataType]])),VLOOKUP(headers[[#This Row],[FinalDataType]],datatypes[],2,0),VLOOKUP(LEFT(headers[[#This Row],[FinalDataType]],FIND("(",headers[[#This Row],[FinalDataType]])-1),datatypes[],2,0))</calculatedColumnFormula>
    </tableColumn>
    <tableColumn id="23" name="FinalDatatypeGroupId" dataDxfId="3" dataCellStyle="Percent">
      <calculatedColumnFormula>VLOOKUP(headers[[#This Row],[FinalDataTypeId]],datatypes[[DatatypeCode]:[DatatypeGroupId]],2,0)</calculatedColumnFormula>
    </tableColumn>
    <tableColumn id="25" name="declare @table table" dataDxfId="2" dataCellStyle="Percent">
      <calculatedColumnFormula>IF(ROW()=minRowNum,"(",",")&amp;rangeConcat(headers[[#This Row],[GoodFieldName]:[Null]]," ")&amp;IF(ROW()=maxRowNum,CHAR(41)&amp;CHAR(59),"")</calculatedColumnFormula>
    </tableColumn>
    <tableColumn id="24" name="syntax" dataDxfId="1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varchar" displayName="varchar" ref="A1:B5" totalsRowShown="0">
  <autoFilter ref="A1:B5">
    <filterColumn colId="0" hiddenButton="1"/>
    <filterColumn colId="1" hiddenButton="1"/>
  </autoFilter>
  <tableColumns count="2">
    <tableColumn id="1" name="Floor"/>
    <tableColumn id="2" name="StringLength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7" name="datatypes" displayName="datatypes" ref="A10:C40" totalsRowShown="0">
  <autoFilter ref="A10:C40">
    <filterColumn colId="0" hiddenButton="1"/>
    <filterColumn colId="1" hiddenButton="1"/>
    <filterColumn colId="2" hiddenButton="1"/>
  </autoFilter>
  <tableColumns count="3">
    <tableColumn id="1" name="Datatype"/>
    <tableColumn id="2" name="DatatypeCode"/>
    <tableColumn id="3" name="DatatypeGroupI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8" name="GroupData" displayName="GroupData" ref="J1:M6" totalsRowShown="0">
  <autoFilter ref="J1:M6">
    <filterColumn colId="0" hiddenButton="1"/>
    <filterColumn colId="1" hiddenButton="1"/>
  </autoFilter>
  <tableColumns count="4">
    <tableColumn id="1" name="DatatypeGroupId"/>
    <tableColumn id="2" name="DatatypeGroupName"/>
    <tableColumn id="3" name="Plain EnglishTranslationRule"/>
    <tableColumn id="4" name="DatatypeTranslationSyntax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24" sqref="A1:D24"/>
    </sheetView>
  </sheetViews>
  <sheetFormatPr defaultRowHeight="15" x14ac:dyDescent="0.25"/>
  <cols>
    <col min="1" max="1" width="1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55" zoomScaleNormal="55" workbookViewId="0"/>
  </sheetViews>
  <sheetFormatPr defaultColWidth="6.85546875" defaultRowHeight="15" x14ac:dyDescent="0.25"/>
  <cols>
    <col min="1" max="1" width="11.140625" style="4" customWidth="1"/>
    <col min="2" max="16384" width="6.85546875" style="4"/>
  </cols>
  <sheetData>
    <row r="1" spans="1:1" x14ac:dyDescent="0.25">
      <c r="A1" s="4" t="s">
        <v>85</v>
      </c>
    </row>
  </sheetData>
  <conditionalFormatting sqref="A17760:A1048576">
    <cfRule type="duplicateValues" dxfId="2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3"/>
  <sheetViews>
    <sheetView topLeftCell="R1" zoomScale="70" zoomScaleNormal="70" workbookViewId="0">
      <selection activeCell="AB1" sqref="AB1"/>
    </sheetView>
  </sheetViews>
  <sheetFormatPr defaultRowHeight="15" x14ac:dyDescent="0.25"/>
  <cols>
    <col min="1" max="1" width="39.140625" bestFit="1" customWidth="1"/>
    <col min="2" max="2" width="39.140625" customWidth="1"/>
    <col min="3" max="3" width="28.5703125" bestFit="1" customWidth="1"/>
    <col min="4" max="4" width="9.28515625" bestFit="1" customWidth="1"/>
    <col min="5" max="5" width="26.140625" customWidth="1"/>
    <col min="6" max="6" width="26.140625" bestFit="1" customWidth="1"/>
    <col min="7" max="7" width="9.140625" customWidth="1"/>
    <col min="8" max="8" width="22.42578125" customWidth="1"/>
    <col min="9" max="9" width="25.42578125" customWidth="1"/>
    <col min="10" max="10" width="21" customWidth="1"/>
    <col min="11" max="12" width="9.140625" customWidth="1"/>
    <col min="13" max="13" width="16" bestFit="1" customWidth="1"/>
    <col min="14" max="14" width="13.140625" customWidth="1"/>
    <col min="15" max="15" width="15.28515625" customWidth="1"/>
    <col min="16" max="16" width="15.42578125" customWidth="1"/>
    <col min="17" max="17" width="11.7109375" customWidth="1"/>
    <col min="18" max="18" width="15.28515625" bestFit="1" customWidth="1"/>
    <col min="19" max="19" width="15.28515625" customWidth="1"/>
    <col min="20" max="20" width="12.140625" customWidth="1"/>
    <col min="21" max="21" width="13.85546875" customWidth="1"/>
    <col min="22" max="22" width="15.28515625" customWidth="1"/>
    <col min="23" max="23" width="17.28515625" customWidth="1"/>
    <col min="24" max="24" width="17.42578125" bestFit="1" customWidth="1"/>
    <col min="25" max="25" width="13.85546875" bestFit="1" customWidth="1"/>
    <col min="26" max="26" width="18.5703125" bestFit="1" customWidth="1"/>
    <col min="27" max="27" width="18.5703125" customWidth="1"/>
    <col min="28" max="28" width="54.28515625" bestFit="1" customWidth="1"/>
    <col min="29" max="29" width="14.28515625" bestFit="1" customWidth="1"/>
    <col min="30" max="30" width="14.85546875" bestFit="1" customWidth="1"/>
    <col min="32" max="32" width="10" bestFit="1" customWidth="1"/>
  </cols>
  <sheetData>
    <row r="1" spans="1:29" x14ac:dyDescent="0.25">
      <c r="A1" s="5" t="s">
        <v>0</v>
      </c>
      <c r="B1" t="s">
        <v>25</v>
      </c>
      <c r="C1" t="s">
        <v>28</v>
      </c>
      <c r="D1" t="s">
        <v>1</v>
      </c>
      <c r="E1" t="s">
        <v>75</v>
      </c>
      <c r="F1" s="5" t="s">
        <v>26</v>
      </c>
      <c r="G1" t="s">
        <v>27</v>
      </c>
      <c r="H1" t="s">
        <v>24</v>
      </c>
      <c r="I1" t="s">
        <v>23</v>
      </c>
      <c r="J1" t="s">
        <v>7</v>
      </c>
      <c r="K1" t="s">
        <v>11</v>
      </c>
      <c r="L1" t="s">
        <v>10</v>
      </c>
      <c r="M1" t="s">
        <v>18</v>
      </c>
      <c r="N1" t="s">
        <v>8</v>
      </c>
      <c r="O1" t="s">
        <v>20</v>
      </c>
      <c r="P1" t="s">
        <v>22</v>
      </c>
      <c r="Q1" t="s">
        <v>9</v>
      </c>
      <c r="R1" t="s">
        <v>15</v>
      </c>
      <c r="S1" t="s">
        <v>80</v>
      </c>
      <c r="T1" t="s">
        <v>16</v>
      </c>
      <c r="U1" t="s">
        <v>19</v>
      </c>
      <c r="V1" t="s">
        <v>17</v>
      </c>
      <c r="W1" t="s">
        <v>21</v>
      </c>
      <c r="X1" t="s">
        <v>81</v>
      </c>
      <c r="Y1" t="s">
        <v>82</v>
      </c>
      <c r="Z1" t="s">
        <v>59</v>
      </c>
      <c r="AA1" t="s">
        <v>76</v>
      </c>
      <c r="AB1" t="s">
        <v>87</v>
      </c>
      <c r="AC1" s="5" t="s">
        <v>77</v>
      </c>
    </row>
    <row r="2" spans="1:29" x14ac:dyDescent="0.25">
      <c r="B2" t="str">
        <f>"[" &amp; CLEAN( SUBSTITUTE(headers[[#This Row],[Field]],"'","''"))&amp;"]"</f>
        <v>[]</v>
      </c>
      <c r="C2" t="e">
        <f ca="1">IF(ISBLANK(headers[[#This Row],[ManualDataType]]),rangeConcat(headers[[#This Row],[ManualDataType]:[TextDataType]]),headers[[#This Row],[ManualDataType]])</f>
        <v>#VALUE!</v>
      </c>
      <c r="D2" t="e">
        <f ca="1">IF(headers[[#This Row],[%isBlank]]=0,"not null","null")</f>
        <v>#REF!</v>
      </c>
      <c r="E2" t="e">
        <f ca="1">IF(AND(headers[[#This Row],[IsNumeric]],headers[[#This Row],[MinVal]]=0,headers[[#This Row],[MaxVal]]=1),"**may be a logical field**","")</f>
        <v>#REF!</v>
      </c>
      <c r="G2" t="e">
        <f ca="1">IF(headers[[#This Row],[isLogical]],"bit",IF(headers[[#This Row],[isBlank]],"float",""))</f>
        <v>#REF!</v>
      </c>
      <c r="H2" t="e">
        <f ca="1">IF(headers[[#This Row],[isDate]],"datetime",IF(headers[[#This Row],[IsNumeric]],"float",""))</f>
        <v>#REF!</v>
      </c>
      <c r="I2" t="e">
        <f ca="1">IF(headers[[#This Row],[IsText]],"varchar("&amp;VLOOKUP(headers[[#This Row],[MaxLen]],varchar[],2,1)&amp;")","")</f>
        <v>#REF!</v>
      </c>
      <c r="J2" t="str">
        <f ca="1">IFERROR(_xlfn.AGGREGATE(15,6,ROW(INDIRECT("DataType["&amp;headers[[#This Row],[Field]]&amp;"]"))/((INDIRECT("DataType["&amp;headers[[#This Row],[Field]]&amp;"]"))="Blank"),1),"")</f>
        <v/>
      </c>
      <c r="K2" t="e">
        <f ca="1">COUNTIFS(INDIRECT("DataType["&amp;headers[[#This Row],[Field]]&amp;"]"),"Blank")=CountDataRows</f>
        <v>#REF!</v>
      </c>
      <c r="L2" t="e">
        <f ca="1">IF(headers[[#This Row],[isBlank]],FALSE,COUNTIFS(INDIRECT("DataType["&amp;headers[[#This Row],[Field]]&amp;"]"),"Boolean")+COUNTIFS(INDIRECT("DataType["&amp;headers[[#This Row],[Field]]&amp;"]"),"Blank")=CountDataRows)</f>
        <v>#REF!</v>
      </c>
      <c r="M2" t="e">
        <f ca="1">IF(headers[[#This Row],[isBlank]],FALSE,COUNTIFS(INDIRECT("DataType["&amp;headers[[#This Row],[Field]]&amp;"]"),"Numeric")+COUNTIFS(INDIRECT("DataType["&amp;headers[[#This Row],[Field]]&amp;"]"),"Blank")=CountDataRows)</f>
        <v>#REF!</v>
      </c>
      <c r="N2" t="e">
        <f ca="1">headers[[#This Row],[%IsText]]&lt;&gt;0</f>
        <v>#REF!</v>
      </c>
      <c r="O2" t="e">
        <f ca="1">SUM(--headers[[#This Row],[IsText]],--headers[[#This Row],[IsNumeric]],--headers[[#This Row],[isLogical]],--headers[[#This Row],[isBlank]])=1</f>
        <v>#REF!</v>
      </c>
      <c r="P2" s="3" t="e">
        <f ca="1">IF(headers[[#This Row],[isBlank]],FALSE,COUNTIFS(INDIRECT("DataType["&amp;headers[[#This Row],[Field]]&amp;"]"),"Date")+COUNTIFS(INDIRECT("DataType["&amp;headers[[#This Row],[Field]]&amp;"]"),"Blank")=CountDataRows)</f>
        <v>#REF!</v>
      </c>
      <c r="Q2" t="e">
        <f ca="1">_xlfn.AGGREGATE(14,6,LEN(INDIRECT("Table1["&amp;headers[[#This Row],[Field]]&amp;"]")),1)</f>
        <v>#REF!</v>
      </c>
      <c r="R2" s="1" t="e">
        <f ca="1">COUNTIFS(INDIRECT("DataType["&amp;headers[[#This Row],[Field]]&amp;"]"),"Blank")/CountDataRows</f>
        <v>#REF!</v>
      </c>
      <c r="S2" s="1" t="e">
        <f ca="1">COUNTIFS(INDIRECT("DataType["&amp;headers[[#This Row],[Field]]&amp;"]"),"Date")/CountDataRows</f>
        <v>#REF!</v>
      </c>
      <c r="T2" s="1" t="e">
        <f ca="1">COUNTIFS(INDIRECT("DataType["&amp;headers[[#This Row],[Field]]&amp;"]"),"Boolean")/CountDataRows</f>
        <v>#REF!</v>
      </c>
      <c r="U2" s="1" t="e">
        <f ca="1">COUNTIFS(INDIRECT("DataType["&amp;headers[[#This Row],[Field]]&amp;"]"),"Numeric")/CountDataRows</f>
        <v>#REF!</v>
      </c>
      <c r="V2" s="1" t="e">
        <f ca="1">COUNTIFS(INDIRECT("DataType["&amp;headers[[#This Row],[Field]]&amp;"]"),"Text")/CountDataRows</f>
        <v>#REF!</v>
      </c>
      <c r="W2" s="2" t="e">
        <f ca="1">SUM(headers[[#This Row],[%isBlank]],headers[[#This Row],[%isDate]],headers[[#This Row],[%isLogical]],headers[[#This Row],[%IsNumeric]],headers[[#This Row],[%IsText]])=1</f>
        <v>#REF!</v>
      </c>
      <c r="X2" s="2" t="e">
        <f ca="1">IF(headers[[#This Row],[IsNumeric]],_xlfn.AGGREGATE(15,6,INDIRECT("Table1["&amp;headers[[#This Row],[Field]]&amp;"]")/--(INDIRECT("Table1["&amp;headers[[#This Row],[Field]]&amp;"]")&lt;&gt;""),1),IF(headers[[#This Row],[isDate]],TEXT(_xlfn.AGGREGATE(15,6,INDIRECT("Table1["&amp;headers[[#This Row],[Field]]&amp;"]")/--(INDIRECT("Table1["&amp;headers[[#This Row],[Field]]&amp;"]")&lt;&gt;""),1),"yyyy-mm-dd"),""))</f>
        <v>#REF!</v>
      </c>
      <c r="Y2" s="2" t="e">
        <f ca="1">IF(headers[[#This Row],[IsNumeric]],MAX(INDIRECT("Table1["&amp;headers[[#This Row],[Field]]&amp;"]")),IF(headers[[#This Row],[isDate]],TEXT(MAX(INDIRECT("Table1["&amp;headers[[#This Row],[Field]]&amp;"]")),"yyyy-mm-dd"),""))</f>
        <v>#REF!</v>
      </c>
      <c r="Z2" s="2" t="e">
        <f ca="1">IF(ISERR(FIND("char",headers[[#This Row],[FinalDataType]])),VLOOKUP(headers[[#This Row],[FinalDataType]],datatypes[],2,0),VLOOKUP(LEFT(headers[[#This Row],[FinalDataType]],FIND("(",headers[[#This Row],[FinalDataType]])-1),datatypes[],2,0))</f>
        <v>#VALUE!</v>
      </c>
      <c r="AA2" s="2" t="e">
        <f ca="1">VLOOKUP(headers[[#This Row],[FinalDataTypeId]],datatypes[[DatatypeCode]:[DatatypeGroupId]],2,0)</f>
        <v>#VALUE!</v>
      </c>
      <c r="AB2" s="2" t="e">
        <f ca="1">IF(ROW()=minRowNum,"(",",")&amp;rangeConcat(headers[[#This Row],[GoodFieldName]:[Null]]," ")&amp;IF(ROW()=maxRowNum,CHAR(41)&amp;CHAR(59),"")</f>
        <v>#VALUE!</v>
      </c>
      <c r="AC2" s="2"/>
    </row>
    <row r="3" spans="1:29" x14ac:dyDescent="0.25">
      <c r="A3" s="4"/>
      <c r="B3" t="str">
        <f>"[" &amp; CLEAN( SUBSTITUTE(headers[[#This Row],[Field]],"'","''"))&amp;"]"</f>
        <v>[]</v>
      </c>
      <c r="C3" t="e">
        <f ca="1">IF(ISBLANK(headers[[#This Row],[ManualDataType]]),rangeConcat(headers[[#This Row],[ManualDataType]:[TextDataType]]),headers[[#This Row],[ManualDataType]])</f>
        <v>#VALUE!</v>
      </c>
      <c r="D3" t="e">
        <f ca="1">IF(headers[[#This Row],[%isBlank]]=0,"not null","null")</f>
        <v>#REF!</v>
      </c>
      <c r="E3" t="e">
        <f ca="1">IF(AND(headers[[#This Row],[IsNumeric]],headers[[#This Row],[MinVal]]=0,headers[[#This Row],[MaxVal]]=1),"**may be a logical field**","")</f>
        <v>#REF!</v>
      </c>
      <c r="G3" t="e">
        <f ca="1">IF(headers[[#This Row],[isLogical]],"bit",IF(headers[[#This Row],[isBlank]],"float",""))</f>
        <v>#REF!</v>
      </c>
      <c r="H3" t="e">
        <f ca="1">IF(headers[[#This Row],[isDate]],"datetime",IF(headers[[#This Row],[IsNumeric]],"float",""))</f>
        <v>#REF!</v>
      </c>
      <c r="I3" t="e">
        <f ca="1">IF(headers[[#This Row],[IsText]],"varchar("&amp;VLOOKUP(headers[[#This Row],[MaxLen]],varchar[],2,1)&amp;")","")</f>
        <v>#REF!</v>
      </c>
      <c r="J3" t="str">
        <f ca="1">IFERROR(_xlfn.AGGREGATE(15,6,ROW(INDIRECT("DataType["&amp;headers[[#This Row],[Field]]&amp;"]"))/((INDIRECT("DataType["&amp;headers[[#This Row],[Field]]&amp;"]"))="Blank"),1),"")</f>
        <v/>
      </c>
      <c r="K3" t="e">
        <f ca="1">COUNTIFS(INDIRECT("DataType["&amp;headers[[#This Row],[Field]]&amp;"]"),"Blank")=CountDataRows</f>
        <v>#REF!</v>
      </c>
      <c r="L3" t="e">
        <f ca="1">IF(headers[[#This Row],[isBlank]],FALSE,COUNTIFS(INDIRECT("DataType["&amp;headers[[#This Row],[Field]]&amp;"]"),"Boolean")+COUNTIFS(INDIRECT("DataType["&amp;headers[[#This Row],[Field]]&amp;"]"),"Blank")=CountDataRows)</f>
        <v>#REF!</v>
      </c>
      <c r="M3" t="e">
        <f ca="1">IF(headers[[#This Row],[isBlank]],FALSE,COUNTIFS(INDIRECT("DataType["&amp;headers[[#This Row],[Field]]&amp;"]"),"Numeric")+COUNTIFS(INDIRECT("DataType["&amp;headers[[#This Row],[Field]]&amp;"]"),"Blank")=CountDataRows)</f>
        <v>#REF!</v>
      </c>
      <c r="N3" t="e">
        <f ca="1">headers[[#This Row],[%IsText]]&lt;&gt;0</f>
        <v>#REF!</v>
      </c>
      <c r="O3" t="e">
        <f ca="1">SUM(--headers[[#This Row],[IsText]],--headers[[#This Row],[IsNumeric]],--headers[[#This Row],[isLogical]],--headers[[#This Row],[isBlank]])=1</f>
        <v>#REF!</v>
      </c>
      <c r="P3" s="3" t="e">
        <f ca="1">IF(headers[[#This Row],[isBlank]],FALSE,COUNTIFS(INDIRECT("DataType["&amp;headers[[#This Row],[Field]]&amp;"]"),"Date")+COUNTIFS(INDIRECT("DataType["&amp;headers[[#This Row],[Field]]&amp;"]"),"Blank")=CountDataRows)</f>
        <v>#REF!</v>
      </c>
      <c r="Q3" t="e">
        <f ca="1">_xlfn.AGGREGATE(14,6,LEN(INDIRECT("Table1["&amp;headers[[#This Row],[Field]]&amp;"]")),1)</f>
        <v>#REF!</v>
      </c>
      <c r="R3" s="1" t="e">
        <f ca="1">COUNTIFS(INDIRECT("DataType["&amp;headers[[#This Row],[Field]]&amp;"]"),"Blank")/CountDataRows</f>
        <v>#REF!</v>
      </c>
      <c r="S3" s="1" t="e">
        <f ca="1">COUNTIFS(INDIRECT("DataType["&amp;headers[[#This Row],[Field]]&amp;"]"),"Date")/CountDataRows</f>
        <v>#REF!</v>
      </c>
      <c r="T3" s="1" t="e">
        <f ca="1">COUNTIFS(INDIRECT("DataType["&amp;headers[[#This Row],[Field]]&amp;"]"),"Boolean")/CountDataRows</f>
        <v>#REF!</v>
      </c>
      <c r="U3" s="1" t="e">
        <f ca="1">COUNTIFS(INDIRECT("DataType["&amp;headers[[#This Row],[Field]]&amp;"]"),"Numeric")/CountDataRows</f>
        <v>#REF!</v>
      </c>
      <c r="V3" s="1" t="e">
        <f ca="1">COUNTIFS(INDIRECT("DataType["&amp;headers[[#This Row],[Field]]&amp;"]"),"Text")/CountDataRows</f>
        <v>#REF!</v>
      </c>
      <c r="W3" s="2" t="e">
        <f ca="1">SUM(headers[[#This Row],[%isBlank]],headers[[#This Row],[%isDate]],headers[[#This Row],[%isLogical]],headers[[#This Row],[%IsNumeric]],headers[[#This Row],[%IsText]])=1</f>
        <v>#REF!</v>
      </c>
      <c r="X3" s="2" t="e">
        <f ca="1">IF(headers[[#This Row],[IsNumeric]],_xlfn.AGGREGATE(15,6,INDIRECT("Table1["&amp;headers[[#This Row],[Field]]&amp;"]")/--(INDIRECT("Table1["&amp;headers[[#This Row],[Field]]&amp;"]")&lt;&gt;""),1),IF(headers[[#This Row],[isDate]],TEXT(_xlfn.AGGREGATE(15,6,INDIRECT("Table1["&amp;headers[[#This Row],[Field]]&amp;"]")/--(INDIRECT("Table1["&amp;headers[[#This Row],[Field]]&amp;"]")&lt;&gt;""),1),"yyyy-mm-dd"),""))</f>
        <v>#REF!</v>
      </c>
      <c r="Y3" s="2" t="e">
        <f ca="1">IF(headers[[#This Row],[IsNumeric]],MAX(INDIRECT("Table1["&amp;headers[[#This Row],[Field]]&amp;"]")),IF(headers[[#This Row],[isDate]],TEXT(MAX(INDIRECT("Table1["&amp;headers[[#This Row],[Field]]&amp;"]")),"yyyy-mm-dd"),""))</f>
        <v>#REF!</v>
      </c>
      <c r="Z3" s="2" t="e">
        <f ca="1">IF(ISERR(FIND("char",headers[[#This Row],[FinalDataType]])),VLOOKUP(headers[[#This Row],[FinalDataType]],datatypes[],2,0),VLOOKUP(LEFT(headers[[#This Row],[FinalDataType]],FIND("(",headers[[#This Row],[FinalDataType]])-1),datatypes[],2,0))</f>
        <v>#VALUE!</v>
      </c>
      <c r="AA3" s="2" t="e">
        <f ca="1">VLOOKUP(headers[[#This Row],[FinalDataTypeId]],datatypes[[DatatypeCode]:[DatatypeGroupId]],2,0)</f>
        <v>#VALUE!</v>
      </c>
      <c r="AB3" s="2" t="e">
        <f ca="1">IF(ROW()=minRowNum,"(",",")&amp;rangeConcat(headers[[#This Row],[GoodFieldName]:[Null]]," ")&amp;IF(ROW()=maxRowNum,CHAR(41)&amp;CHAR(59),"")</f>
        <v>#VALUE!</v>
      </c>
      <c r="AC3" s="2"/>
    </row>
  </sheetData>
  <pageMargins left="0.25" right="0.25" top="0.75" bottom="0.75" header="0.3" footer="0.3"/>
  <pageSetup paperSize="5" scale="32" fitToHeight="0" orientation="landscape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0"/>
  <sheetViews>
    <sheetView tabSelected="1" topLeftCell="A4" zoomScale="70" zoomScaleNormal="70" workbookViewId="0">
      <selection activeCell="F7" sqref="F7"/>
    </sheetView>
  </sheetViews>
  <sheetFormatPr defaultRowHeight="15" x14ac:dyDescent="0.25"/>
  <cols>
    <col min="1" max="1" width="33.140625" bestFit="1" customWidth="1"/>
    <col min="2" max="2" width="19.42578125" customWidth="1"/>
    <col min="3" max="3" width="21.140625" bestFit="1" customWidth="1"/>
    <col min="5" max="5" width="22.140625" bestFit="1" customWidth="1"/>
    <col min="6" max="6" width="27.28515625" bestFit="1" customWidth="1"/>
    <col min="10" max="10" width="22.7109375" customWidth="1"/>
    <col min="11" max="11" width="42.42578125" bestFit="1" customWidth="1"/>
    <col min="12" max="12" width="39.7109375" bestFit="1" customWidth="1"/>
    <col min="13" max="13" width="36.42578125" bestFit="1" customWidth="1"/>
  </cols>
  <sheetData>
    <row r="1" spans="1:13" x14ac:dyDescent="0.25">
      <c r="A1" t="s">
        <v>12</v>
      </c>
      <c r="B1" t="s">
        <v>13</v>
      </c>
      <c r="E1" s="7" t="s">
        <v>31</v>
      </c>
      <c r="F1">
        <f>COUNTA(headers[Field])</f>
        <v>0</v>
      </c>
      <c r="J1" t="s">
        <v>62</v>
      </c>
      <c r="K1" t="s">
        <v>72</v>
      </c>
      <c r="L1" t="s">
        <v>73</v>
      </c>
      <c r="M1" t="s">
        <v>74</v>
      </c>
    </row>
    <row r="2" spans="1:13" x14ac:dyDescent="0.25">
      <c r="A2">
        <v>0</v>
      </c>
      <c r="B2">
        <v>100</v>
      </c>
      <c r="E2" s="7" t="s">
        <v>29</v>
      </c>
      <c r="F2">
        <f>MIN(ROW(headers[Field]))</f>
        <v>2</v>
      </c>
      <c r="J2">
        <v>0</v>
      </c>
      <c r="K2" t="s">
        <v>63</v>
      </c>
      <c r="L2" t="s">
        <v>68</v>
      </c>
      <c r="M2" s="4" t="s">
        <v>68</v>
      </c>
    </row>
    <row r="3" spans="1:13" x14ac:dyDescent="0.25">
      <c r="A3">
        <v>75</v>
      </c>
      <c r="B3">
        <v>255</v>
      </c>
      <c r="E3" s="7" t="s">
        <v>30</v>
      </c>
      <c r="F3">
        <f>_xlfn.AGGREGATE(14,4,ROW(headers[Field]),1)</f>
        <v>3</v>
      </c>
      <c r="J3">
        <v>1</v>
      </c>
      <c r="K3" t="s">
        <v>64</v>
      </c>
      <c r="L3" t="s">
        <v>69</v>
      </c>
      <c r="M3" s="4"/>
    </row>
    <row r="4" spans="1:13" x14ac:dyDescent="0.25">
      <c r="A4">
        <v>150</v>
      </c>
      <c r="B4">
        <v>1000</v>
      </c>
      <c r="E4" s="7" t="s">
        <v>33</v>
      </c>
      <c r="F4" t="str">
        <f>INDEX(headers[GoodFieldName],1)</f>
        <v>[]</v>
      </c>
      <c r="J4">
        <v>2</v>
      </c>
      <c r="K4" t="s">
        <v>65</v>
      </c>
      <c r="L4" t="s">
        <v>70</v>
      </c>
      <c r="M4" s="4"/>
    </row>
    <row r="5" spans="1:13" ht="15.75" thickBot="1" x14ac:dyDescent="0.3">
      <c r="A5">
        <v>700</v>
      </c>
      <c r="B5" t="s">
        <v>14</v>
      </c>
      <c r="E5" s="7" t="s">
        <v>32</v>
      </c>
      <c r="F5">
        <f ca="1">COUNTA(INDIRECT("Table1["&amp;FirstHeader&amp;"]"))</f>
        <v>1</v>
      </c>
      <c r="J5">
        <v>3</v>
      </c>
      <c r="K5" t="s">
        <v>66</v>
      </c>
      <c r="L5" t="s">
        <v>71</v>
      </c>
      <c r="M5" s="4"/>
    </row>
    <row r="6" spans="1:13" ht="24" thickBot="1" x14ac:dyDescent="0.4">
      <c r="E6" s="9" t="s">
        <v>86</v>
      </c>
      <c r="F6" s="8" t="s">
        <v>88</v>
      </c>
      <c r="J6">
        <v>4</v>
      </c>
      <c r="K6" t="s">
        <v>67</v>
      </c>
      <c r="L6" t="s">
        <v>69</v>
      </c>
      <c r="M6" s="4"/>
    </row>
    <row r="7" spans="1:13" x14ac:dyDescent="0.25">
      <c r="E7" s="7" t="s">
        <v>78</v>
      </c>
      <c r="F7" t="str">
        <f>"=CONCATENATE("</f>
        <v>=CONCATENATE(</v>
      </c>
    </row>
    <row r="8" spans="1:13" x14ac:dyDescent="0.25">
      <c r="E8" s="7" t="s">
        <v>79</v>
      </c>
      <c r="F8" t="str">
        <f>CONCATENATE(CHAR(34),CHAR(40),CHAR(34))&amp;rangeConcat(headers[syntax])</f>
        <v>"("</v>
      </c>
    </row>
    <row r="9" spans="1:13" x14ac:dyDescent="0.25">
      <c r="E9" s="5" t="s">
        <v>84</v>
      </c>
      <c r="F9" s="6"/>
    </row>
    <row r="10" spans="1:13" x14ac:dyDescent="0.25">
      <c r="A10" t="s">
        <v>60</v>
      </c>
      <c r="B10" t="s">
        <v>61</v>
      </c>
      <c r="C10" t="s">
        <v>62</v>
      </c>
      <c r="E10" s="5" t="s">
        <v>83</v>
      </c>
    </row>
    <row r="11" spans="1:13" x14ac:dyDescent="0.25">
      <c r="A11" t="s">
        <v>35</v>
      </c>
      <c r="B11">
        <v>1</v>
      </c>
      <c r="C11">
        <v>0</v>
      </c>
    </row>
    <row r="12" spans="1:13" x14ac:dyDescent="0.25">
      <c r="A12" t="s">
        <v>36</v>
      </c>
      <c r="B12">
        <v>2</v>
      </c>
      <c r="C12">
        <v>0</v>
      </c>
    </row>
    <row r="13" spans="1:13" x14ac:dyDescent="0.25">
      <c r="A13" t="s">
        <v>37</v>
      </c>
      <c r="B13">
        <v>3</v>
      </c>
      <c r="C13">
        <v>0</v>
      </c>
      <c r="F13" t="str">
        <f>CONCATENATE(CHAR(44),CHAR(34),CHAR(40),CHAR(34))</f>
        <v>,"("</v>
      </c>
    </row>
    <row r="14" spans="1:13" x14ac:dyDescent="0.25">
      <c r="A14" t="s">
        <v>38</v>
      </c>
      <c r="B14">
        <v>4</v>
      </c>
      <c r="C14">
        <v>1</v>
      </c>
    </row>
    <row r="15" spans="1:13" x14ac:dyDescent="0.25">
      <c r="A15" t="s">
        <v>39</v>
      </c>
      <c r="B15">
        <v>5</v>
      </c>
      <c r="C15">
        <v>1</v>
      </c>
    </row>
    <row r="16" spans="1:13" x14ac:dyDescent="0.25">
      <c r="A16" t="s">
        <v>40</v>
      </c>
      <c r="B16">
        <v>6</v>
      </c>
      <c r="C16">
        <v>1</v>
      </c>
    </row>
    <row r="17" spans="1:3" x14ac:dyDescent="0.25">
      <c r="A17" t="s">
        <v>41</v>
      </c>
      <c r="B17">
        <v>7</v>
      </c>
      <c r="C17">
        <v>1</v>
      </c>
    </row>
    <row r="18" spans="1:3" x14ac:dyDescent="0.25">
      <c r="A18" t="s">
        <v>2</v>
      </c>
      <c r="B18">
        <v>8</v>
      </c>
      <c r="C18">
        <v>1</v>
      </c>
    </row>
    <row r="19" spans="1:3" x14ac:dyDescent="0.25">
      <c r="A19" t="s">
        <v>42</v>
      </c>
      <c r="B19">
        <v>9</v>
      </c>
      <c r="C19">
        <v>1</v>
      </c>
    </row>
    <row r="20" spans="1:3" x14ac:dyDescent="0.25">
      <c r="A20" t="s">
        <v>6</v>
      </c>
      <c r="B20">
        <v>10</v>
      </c>
      <c r="C20">
        <v>2</v>
      </c>
    </row>
    <row r="21" spans="1:3" x14ac:dyDescent="0.25">
      <c r="A21" t="s">
        <v>43</v>
      </c>
      <c r="B21">
        <v>11</v>
      </c>
      <c r="C21">
        <v>2</v>
      </c>
    </row>
    <row r="22" spans="1:3" x14ac:dyDescent="0.25">
      <c r="A22" t="s">
        <v>44</v>
      </c>
      <c r="B22">
        <v>12</v>
      </c>
      <c r="C22">
        <v>2</v>
      </c>
    </row>
    <row r="23" spans="1:3" x14ac:dyDescent="0.25">
      <c r="A23" t="s">
        <v>45</v>
      </c>
      <c r="B23">
        <v>13</v>
      </c>
      <c r="C23">
        <v>2</v>
      </c>
    </row>
    <row r="24" spans="1:3" x14ac:dyDescent="0.25">
      <c r="A24" t="s">
        <v>46</v>
      </c>
      <c r="B24">
        <v>14</v>
      </c>
      <c r="C24">
        <v>2</v>
      </c>
    </row>
    <row r="25" spans="1:3" x14ac:dyDescent="0.25">
      <c r="A25" t="s">
        <v>3</v>
      </c>
      <c r="B25">
        <v>15</v>
      </c>
      <c r="C25">
        <v>2</v>
      </c>
    </row>
    <row r="26" spans="1:3" x14ac:dyDescent="0.25">
      <c r="A26" t="s">
        <v>5</v>
      </c>
      <c r="B26">
        <v>16</v>
      </c>
      <c r="C26">
        <v>2</v>
      </c>
    </row>
    <row r="27" spans="1:3" x14ac:dyDescent="0.25">
      <c r="A27" t="s">
        <v>47</v>
      </c>
      <c r="B27">
        <v>17</v>
      </c>
      <c r="C27">
        <v>2</v>
      </c>
    </row>
    <row r="28" spans="1:3" x14ac:dyDescent="0.25">
      <c r="A28" t="s">
        <v>48</v>
      </c>
      <c r="B28">
        <v>18</v>
      </c>
      <c r="C28">
        <v>2</v>
      </c>
    </row>
    <row r="29" spans="1:3" x14ac:dyDescent="0.25">
      <c r="A29" t="s">
        <v>4</v>
      </c>
      <c r="B29">
        <v>19</v>
      </c>
      <c r="C29">
        <v>3</v>
      </c>
    </row>
    <row r="30" spans="1:3" x14ac:dyDescent="0.25">
      <c r="A30" t="s">
        <v>49</v>
      </c>
      <c r="B30">
        <v>20</v>
      </c>
      <c r="C30">
        <v>0</v>
      </c>
    </row>
    <row r="31" spans="1:3" x14ac:dyDescent="0.25">
      <c r="A31" t="s">
        <v>50</v>
      </c>
      <c r="B31">
        <v>21</v>
      </c>
      <c r="C31">
        <v>0</v>
      </c>
    </row>
    <row r="32" spans="1:3" x14ac:dyDescent="0.25">
      <c r="A32" t="s">
        <v>51</v>
      </c>
      <c r="B32">
        <v>22</v>
      </c>
      <c r="C32">
        <v>0</v>
      </c>
    </row>
    <row r="33" spans="1:3" x14ac:dyDescent="0.25">
      <c r="A33" t="s">
        <v>52</v>
      </c>
      <c r="B33">
        <v>23</v>
      </c>
      <c r="C33">
        <v>1</v>
      </c>
    </row>
    <row r="34" spans="1:3" x14ac:dyDescent="0.25">
      <c r="A34" t="s">
        <v>53</v>
      </c>
      <c r="B34">
        <v>24</v>
      </c>
      <c r="C34">
        <v>0</v>
      </c>
    </row>
    <row r="35" spans="1:3" x14ac:dyDescent="0.25">
      <c r="A35" t="s">
        <v>56</v>
      </c>
      <c r="B35">
        <v>25</v>
      </c>
      <c r="C35">
        <v>4</v>
      </c>
    </row>
    <row r="36" spans="1:3" x14ac:dyDescent="0.25">
      <c r="A36" t="s">
        <v>54</v>
      </c>
      <c r="B36">
        <v>26</v>
      </c>
      <c r="C36">
        <v>4</v>
      </c>
    </row>
    <row r="37" spans="1:3" x14ac:dyDescent="0.25">
      <c r="A37" t="s">
        <v>34</v>
      </c>
      <c r="B37">
        <v>27</v>
      </c>
      <c r="C37">
        <v>4</v>
      </c>
    </row>
    <row r="38" spans="1:3" x14ac:dyDescent="0.25">
      <c r="A38" t="s">
        <v>55</v>
      </c>
      <c r="B38">
        <v>28</v>
      </c>
      <c r="C38">
        <v>4</v>
      </c>
    </row>
    <row r="39" spans="1:3" x14ac:dyDescent="0.25">
      <c r="A39" t="s">
        <v>57</v>
      </c>
      <c r="B39">
        <v>29</v>
      </c>
      <c r="C39">
        <v>0</v>
      </c>
    </row>
    <row r="40" spans="1:3" x14ac:dyDescent="0.25">
      <c r="A40" t="s">
        <v>58</v>
      </c>
      <c r="B40">
        <v>30</v>
      </c>
      <c r="C40">
        <v>0</v>
      </c>
    </row>
  </sheetData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insert_into</vt:lpstr>
      <vt:lpstr>Table1</vt:lpstr>
      <vt:lpstr>headers</vt:lpstr>
      <vt:lpstr>Param</vt:lpstr>
      <vt:lpstr>AutoScript</vt:lpstr>
      <vt:lpstr>CountColumns</vt:lpstr>
      <vt:lpstr>CountDataRows</vt:lpstr>
      <vt:lpstr>CreateSyntax</vt:lpstr>
      <vt:lpstr>FinalExcelFormula</vt:lpstr>
      <vt:lpstr>FirstHeader</vt:lpstr>
      <vt:lpstr>maxRowNum</vt:lpstr>
      <vt:lpstr>minRowNum</vt:lpstr>
      <vt:lpstr>PartOne</vt:lpstr>
      <vt:lpstr>PreFinalExcelFormula</vt:lpstr>
      <vt:lpstr>TableName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Vandivier</dc:creator>
  <cp:lastModifiedBy>Peter Vandivier</cp:lastModifiedBy>
  <cp:lastPrinted>2014-11-28T18:56:44Z</cp:lastPrinted>
  <dcterms:created xsi:type="dcterms:W3CDTF">2014-11-26T21:25:03Z</dcterms:created>
  <dcterms:modified xsi:type="dcterms:W3CDTF">2015-06-10T14:28:07Z</dcterms:modified>
</cp:coreProperties>
</file>